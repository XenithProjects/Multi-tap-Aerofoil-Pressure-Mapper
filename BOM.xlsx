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 X\Desktop\Projects\Multi-tap Aerofoil Pressure Scanner\"/>
    </mc:Choice>
  </mc:AlternateContent>
  <xr:revisionPtr revIDLastSave="0" documentId="13_ncr:1_{961FEFD6-0304-495E-81EF-F62A5A0C5656}" xr6:coauthVersionLast="47" xr6:coauthVersionMax="47" xr10:uidLastSave="{00000000-0000-0000-0000-000000000000}"/>
  <bookViews>
    <workbookView xWindow="-110" yWindow="-110" windowWidth="25820" windowHeight="15500" firstSheet="1" activeTab="1" xr2:uid="{D5B72F7A-AB8B-46DF-BA8C-99DBE456E937}"/>
  </bookViews>
  <sheets>
    <sheet name="Sheet1" sheetId="1" r:id="rId1"/>
    <sheet name="Sheet2" sheetId="3" r:id="rId2"/>
  </sheets>
  <definedNames>
    <definedName name="_xlnm._FilterDatabase" localSheetId="1" hidden="1">Sheet2!$A$1:$G$18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18" i="3" l="1"/>
  <c r="F18" i="1"/>
</calcChain>
</file>

<file path=xl/sharedStrings.xml><?xml version="1.0" encoding="utf-8"?>
<sst xmlns="http://schemas.openxmlformats.org/spreadsheetml/2006/main" count="83" uniqueCount="64">
  <si>
    <t>#</t>
  </si>
  <si>
    <t>Component</t>
  </si>
  <si>
    <t>Specification</t>
  </si>
  <si>
    <t>Qty</t>
  </si>
  <si>
    <t>Unit (S$)</t>
  </si>
  <si>
    <t>Total (S$)</t>
  </si>
  <si>
    <t>Source</t>
  </si>
  <si>
    <t>Purchased?</t>
  </si>
  <si>
    <t>ESP32 DevKit V1</t>
  </si>
  <si>
    <t>38-pin, 240 MHz, Wi-Fi + BT, USB-serial</t>
  </si>
  <si>
    <t>Taobao</t>
  </si>
  <si>
    <t>Yes</t>
  </si>
  <si>
    <t>I2C Multiplexer</t>
  </si>
  <si>
    <t>TCA9548A breakout, 8-channel</t>
  </si>
  <si>
    <t>Sensirion SDP810-125Pa</t>
  </si>
  <si>
    <t>±125 Pa, I2C, 16-bit — upper surface taps (U1–U5)</t>
  </si>
  <si>
    <t>±125 Pa, I2C — freestream pitot reference</t>
  </si>
  <si>
    <t>NACA 2412 model (3D print)</t>
  </si>
  <si>
    <t>PLA, 200 mm chord × 100 mm span, 5 taps pre-modelled</t>
  </si>
  <si>
    <t>Home</t>
  </si>
  <si>
    <t>Brass tube stubs</t>
  </si>
  <si>
    <t>OD 1.5 mm, cut to 10 mm — tap stubs × 8</t>
  </si>
  <si>
    <t>Sim Lim / hardware</t>
  </si>
  <si>
    <t>Vinyl tubing</t>
  </si>
  <si>
    <t>ID 1 mm, 3 m roll — tap-to-sensor lines</t>
  </si>
  <si>
    <t>Shopee</t>
  </si>
  <si>
    <t>Epoxy adhesive</t>
  </si>
  <si>
    <t>2-part low-viscosity, for tap stub sealing</t>
  </si>
  <si>
    <t>Hardware store</t>
  </si>
  <si>
    <t>Breadboard + jumper kit</t>
  </si>
  <si>
    <t>830-tie full breadboard + 65-piece jumper set</t>
  </si>
  <si>
    <t>4.7 kΩ resistors</t>
  </si>
  <si>
    <t>Through-hole, I2C pull-ups × 10</t>
  </si>
  <si>
    <t>100 nF decoupling caps</t>
  </si>
  <si>
    <t>Ceramic through-hole × 10</t>
  </si>
  <si>
    <t>USB Micro-B cable</t>
  </si>
  <si>
    <t>Data + power, 1 m</t>
  </si>
  <si>
    <t>5 V USB adapter</t>
  </si>
  <si>
    <t>1 A minimum for ESP32</t>
  </si>
  <si>
    <t>MicroSD card module + card</t>
  </si>
  <si>
    <t>SPI, 8 GB card — for offline data logging</t>
  </si>
  <si>
    <t>Adjustable AoA stand</t>
  </si>
  <si>
    <t>3D-printed, protractor scale, ±20° range</t>
  </si>
  <si>
    <t>Duct fan / desk fan</t>
  </si>
  <si>
    <t>≥ 15 m/s freestream at model — borrow if possible</t>
  </si>
  <si>
    <t>TOTAL ESTIMATED COST</t>
  </si>
  <si>
    <t>Under S$100 budget ✓</t>
  </si>
  <si>
    <t>ESP32-WROOM-32 DevKit V1</t>
  </si>
  <si>
    <t>S$14.32 under budget</t>
  </si>
  <si>
    <t>PCA9548A 8-channel I2C multiplexer breakout module</t>
  </si>
  <si>
    <t>2-part low-viscosity epoxy adhesive (Araldite Rapid)</t>
  </si>
  <si>
    <t>4.7 kOhm resistors</t>
  </si>
  <si>
    <t>100 nF ceramic capacitors</t>
  </si>
  <si>
    <t>10 uF electrolytic capacitors</t>
  </si>
  <si>
    <t>Sensirion SDP810-500Pa - upper taps U1 to U5, lower taps L1 &amp; L2, freestream pitot static reference</t>
  </si>
  <si>
    <t>Brass tube stubs - OD 1.5 mm, ID 0.8 mm, cut to 10 mm</t>
  </si>
  <si>
    <t>Vinyl tubing - ID 1 mm, OD 2 mm, 3 m roll</t>
  </si>
  <si>
    <t>Half-size solderless breadboard - 400-tie</t>
  </si>
  <si>
    <t>Jumper wire kit - male-male and male-female, 65 pieces</t>
  </si>
  <si>
    <t>USB C cable - 1 m, data-capable</t>
  </si>
  <si>
    <t>Adjustable angle-of-attack stand - 3D-printed</t>
  </si>
  <si>
    <t>Pitot tube assembly - 3D-printed</t>
  </si>
  <si>
    <t>Duct fan or desk fan - minimum 15 m/s freestream velocity at model face</t>
  </si>
  <si>
    <t>NACA 2412 aerofoil model - 3D-printed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</si>
</sst>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"/>
      <color rgb="FFFFFFFF"/>
      <name val="Arial"/>
      <family val="2"/>
    </font>
    <font>
      <sz val="9.5"/>
      <color rgb="FF888888"/>
      <name val="Arial"/>
      <family val="2"/>
    </font>
    <font>
      <b/>
      <sz val="9.5"/>
      <color rgb="FF1A1A1A"/>
      <name val="Arial"/>
      <family val="2"/>
    </font>
    <font>
      <sz val="9.5"/>
      <color rgb="FF1A1A1A"/>
      <name val="Arial"/>
      <family val="2"/>
    </font>
    <font>
      <sz val="10"/>
      <color rgb="FF1A1A1A"/>
      <name val="Arial"/>
      <family val="2"/>
    </font>
    <font>
      <sz val="10.5"/>
      <color rgb="FF000000"/>
      <name val="Arial"/>
      <family val="2"/>
    </font>
    <font>
      <sz val="9"/>
      <color rgb="FFAAAAAA"/>
      <name val="Arial"/>
      <family val="2"/>
    </font>
    <font>
      <sz val="9.5"/>
      <color rgb="FFAAAAAA"/>
      <name val="Arial"/>
      <family val="2"/>
    </font>
    <font>
      <sz val="8.5"/>
      <color rgb="FF77BB7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CCCCC"/>
      </top>
      <bottom style="medium">
        <color rgb="FFC00000"/>
      </bottom>
      <diagonal/>
    </border>
    <border>
      <left/>
      <right/>
      <top style="medium">
        <color rgb="FFCCCCCC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CCCCC"/>
      </top>
      <bottom style="medium">
        <color rgb="FFC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2" fillId="4" borderId="5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wrapText="1" indent="1"/>
    </xf>
    <xf numFmtId="0" fontId="4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 indent="1"/>
    </xf>
    <xf numFmtId="0" fontId="7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 wrapText="1" indent="1"/>
    </xf>
    <xf numFmtId="0" fontId="2" fillId="2" borderId="7" xfId="0" applyFont="1" applyFill="1" applyBorder="1" applyAlignment="1">
      <alignment horizontal="right" vertical="center" wrapText="1" indent="1"/>
    </xf>
    <xf numFmtId="0" fontId="2" fillId="2" borderId="8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DBA8-4CD7-4F93-992E-DBB2EBF29BC5}">
  <dimension ref="A1:H18"/>
  <sheetViews>
    <sheetView workbookViewId="0">
      <selection activeCell="E10" sqref="E10"/>
    </sheetView>
  </sheetViews>
  <sheetFormatPr defaultRowHeight="14.5" x14ac:dyDescent="0.35"/>
  <cols>
    <col min="1" max="1" width="3.90625" bestFit="1" customWidth="1"/>
    <col min="2" max="2" width="25.36328125" bestFit="1" customWidth="1"/>
    <col min="3" max="3" width="47" bestFit="1" customWidth="1"/>
    <col min="4" max="4" width="5" bestFit="1" customWidth="1"/>
    <col min="5" max="5" width="9.36328125" bestFit="1" customWidth="1"/>
    <col min="6" max="6" width="10.26953125" bestFit="1" customWidth="1"/>
    <col min="7" max="7" width="18.81640625" bestFit="1" customWidth="1"/>
    <col min="8" max="8" width="11.08984375" bestFit="1" customWidth="1"/>
  </cols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thickBot="1" x14ac:dyDescent="0.4">
      <c r="A2" s="4">
        <v>1</v>
      </c>
      <c r="B2" s="5" t="s">
        <v>8</v>
      </c>
      <c r="C2" s="6" t="s">
        <v>9</v>
      </c>
      <c r="D2" s="6">
        <v>1</v>
      </c>
      <c r="E2" s="7">
        <v>4.3</v>
      </c>
      <c r="F2" s="6">
        <f>$D2*$E2</f>
        <v>4.3</v>
      </c>
      <c r="G2" s="6" t="s">
        <v>10</v>
      </c>
      <c r="H2" s="8" t="s">
        <v>11</v>
      </c>
    </row>
    <row r="3" spans="1:8" ht="15" thickBot="1" x14ac:dyDescent="0.4">
      <c r="A3" s="9">
        <v>2</v>
      </c>
      <c r="B3" s="10" t="s">
        <v>12</v>
      </c>
      <c r="C3" s="11" t="s">
        <v>13</v>
      </c>
      <c r="D3" s="12">
        <v>1</v>
      </c>
      <c r="E3" s="12">
        <v>0.87</v>
      </c>
      <c r="F3" s="6">
        <f t="shared" ref="F3:F17" si="0">$D3*$E3</f>
        <v>0.87</v>
      </c>
      <c r="G3" s="12" t="s">
        <v>10</v>
      </c>
      <c r="H3" s="13" t="s">
        <v>11</v>
      </c>
    </row>
    <row r="4" spans="1:8" ht="15" thickBot="1" x14ac:dyDescent="0.4">
      <c r="A4" s="9">
        <v>3</v>
      </c>
      <c r="B4" s="10" t="s">
        <v>14</v>
      </c>
      <c r="C4" s="12" t="s">
        <v>15</v>
      </c>
      <c r="D4" s="12">
        <v>5</v>
      </c>
      <c r="E4" s="12">
        <v>12.97</v>
      </c>
      <c r="F4" s="6">
        <f t="shared" si="0"/>
        <v>64.850000000000009</v>
      </c>
      <c r="G4" s="12" t="s">
        <v>10</v>
      </c>
      <c r="H4" s="13"/>
    </row>
    <row r="5" spans="1:8" ht="15" thickBot="1" x14ac:dyDescent="0.4">
      <c r="A5" s="4">
        <v>4</v>
      </c>
      <c r="B5" s="5" t="s">
        <v>14</v>
      </c>
      <c r="C5" s="6" t="s">
        <v>16</v>
      </c>
      <c r="D5" s="6">
        <v>1</v>
      </c>
      <c r="E5" s="6">
        <v>12.97</v>
      </c>
      <c r="F5" s="6">
        <f t="shared" si="0"/>
        <v>12.97</v>
      </c>
      <c r="G5" s="6" t="s">
        <v>10</v>
      </c>
      <c r="H5" s="8"/>
    </row>
    <row r="6" spans="1:8" ht="15" thickBot="1" x14ac:dyDescent="0.4">
      <c r="A6" s="9">
        <v>5</v>
      </c>
      <c r="B6" s="10" t="s">
        <v>17</v>
      </c>
      <c r="C6" s="12" t="s">
        <v>18</v>
      </c>
      <c r="D6" s="12">
        <v>1</v>
      </c>
      <c r="E6" s="12">
        <v>0</v>
      </c>
      <c r="F6" s="6">
        <f t="shared" si="0"/>
        <v>0</v>
      </c>
      <c r="G6" s="14" t="s">
        <v>19</v>
      </c>
      <c r="H6" s="13"/>
    </row>
    <row r="7" spans="1:8" ht="15" thickBot="1" x14ac:dyDescent="0.4">
      <c r="A7" s="4">
        <v>6</v>
      </c>
      <c r="B7" s="5" t="s">
        <v>20</v>
      </c>
      <c r="C7" s="6" t="s">
        <v>21</v>
      </c>
      <c r="D7" s="6">
        <v>8</v>
      </c>
      <c r="E7" s="6">
        <v>0.3</v>
      </c>
      <c r="F7" s="6">
        <f t="shared" si="0"/>
        <v>2.4</v>
      </c>
      <c r="G7" s="6" t="s">
        <v>22</v>
      </c>
      <c r="H7" s="8"/>
    </row>
    <row r="8" spans="1:8" ht="15" thickBot="1" x14ac:dyDescent="0.4">
      <c r="A8" s="9">
        <v>7</v>
      </c>
      <c r="B8" s="10" t="s">
        <v>23</v>
      </c>
      <c r="C8" s="12" t="s">
        <v>24</v>
      </c>
      <c r="D8" s="12">
        <v>1</v>
      </c>
      <c r="E8" s="12">
        <v>4</v>
      </c>
      <c r="F8" s="6">
        <f t="shared" si="0"/>
        <v>4</v>
      </c>
      <c r="G8" s="12" t="s">
        <v>25</v>
      </c>
      <c r="H8" s="13"/>
    </row>
    <row r="9" spans="1:8" ht="15" thickBot="1" x14ac:dyDescent="0.4">
      <c r="A9" s="4">
        <v>8</v>
      </c>
      <c r="B9" s="5" t="s">
        <v>26</v>
      </c>
      <c r="C9" s="6" t="s">
        <v>27</v>
      </c>
      <c r="D9" s="6">
        <v>1</v>
      </c>
      <c r="E9" s="6">
        <v>3.5</v>
      </c>
      <c r="F9" s="6">
        <f t="shared" si="0"/>
        <v>3.5</v>
      </c>
      <c r="G9" s="6" t="s">
        <v>28</v>
      </c>
      <c r="H9" s="8"/>
    </row>
    <row r="10" spans="1:8" ht="15" thickBot="1" x14ac:dyDescent="0.4">
      <c r="A10" s="9">
        <v>9</v>
      </c>
      <c r="B10" s="10" t="s">
        <v>29</v>
      </c>
      <c r="C10" s="12" t="s">
        <v>30</v>
      </c>
      <c r="D10" s="12">
        <v>1</v>
      </c>
      <c r="E10" s="12">
        <v>4.34</v>
      </c>
      <c r="F10" s="6">
        <f t="shared" si="0"/>
        <v>4.34</v>
      </c>
      <c r="G10" s="12" t="s">
        <v>10</v>
      </c>
      <c r="H10" s="13"/>
    </row>
    <row r="11" spans="1:8" ht="15" thickBot="1" x14ac:dyDescent="0.4">
      <c r="A11" s="4">
        <v>10</v>
      </c>
      <c r="B11" s="5" t="s">
        <v>31</v>
      </c>
      <c r="C11" s="6" t="s">
        <v>32</v>
      </c>
      <c r="D11" s="6">
        <v>1</v>
      </c>
      <c r="E11" s="19"/>
      <c r="F11" s="6">
        <f>$D11*$E11</f>
        <v>0</v>
      </c>
      <c r="G11" s="19"/>
      <c r="H11" s="8"/>
    </row>
    <row r="12" spans="1:8" ht="15" thickBot="1" x14ac:dyDescent="0.4">
      <c r="A12" s="9">
        <v>11</v>
      </c>
      <c r="B12" s="10" t="s">
        <v>33</v>
      </c>
      <c r="C12" s="12" t="s">
        <v>34</v>
      </c>
      <c r="D12" s="12">
        <v>1</v>
      </c>
      <c r="E12" s="19"/>
      <c r="F12" s="6">
        <f t="shared" si="0"/>
        <v>0</v>
      </c>
      <c r="G12" s="19"/>
      <c r="H12" s="13"/>
    </row>
    <row r="13" spans="1:8" ht="15" thickBot="1" x14ac:dyDescent="0.4">
      <c r="A13" s="4">
        <v>12</v>
      </c>
      <c r="B13" s="5" t="s">
        <v>35</v>
      </c>
      <c r="C13" s="6" t="s">
        <v>36</v>
      </c>
      <c r="D13" s="6">
        <v>1</v>
      </c>
      <c r="E13" s="6">
        <v>0</v>
      </c>
      <c r="F13" s="6">
        <f t="shared" si="0"/>
        <v>0</v>
      </c>
      <c r="G13" s="6" t="s">
        <v>19</v>
      </c>
      <c r="H13" s="8"/>
    </row>
    <row r="14" spans="1:8" ht="15" thickBot="1" x14ac:dyDescent="0.4">
      <c r="A14" s="9">
        <v>13</v>
      </c>
      <c r="B14" s="10" t="s">
        <v>37</v>
      </c>
      <c r="C14" s="12" t="s">
        <v>38</v>
      </c>
      <c r="D14" s="12">
        <v>1</v>
      </c>
      <c r="E14" s="12">
        <v>0</v>
      </c>
      <c r="F14" s="6">
        <f t="shared" si="0"/>
        <v>0</v>
      </c>
      <c r="G14" s="12" t="s">
        <v>19</v>
      </c>
      <c r="H14" s="13"/>
    </row>
    <row r="15" spans="1:8" ht="15" thickBot="1" x14ac:dyDescent="0.4">
      <c r="A15" s="4">
        <v>14</v>
      </c>
      <c r="B15" s="15" t="s">
        <v>39</v>
      </c>
      <c r="C15" s="15" t="s">
        <v>40</v>
      </c>
      <c r="D15" s="15">
        <v>1</v>
      </c>
      <c r="E15" s="6">
        <v>0.72</v>
      </c>
      <c r="F15" s="6">
        <f t="shared" si="0"/>
        <v>0.72</v>
      </c>
      <c r="G15" s="15" t="s">
        <v>10</v>
      </c>
      <c r="H15" s="8"/>
    </row>
    <row r="16" spans="1:8" ht="15" thickBot="1" x14ac:dyDescent="0.4">
      <c r="A16" s="4">
        <v>15</v>
      </c>
      <c r="B16" s="5" t="s">
        <v>41</v>
      </c>
      <c r="C16" s="6" t="s">
        <v>42</v>
      </c>
      <c r="D16" s="6">
        <v>1</v>
      </c>
      <c r="E16" s="6">
        <v>0</v>
      </c>
      <c r="F16" s="6">
        <f t="shared" si="0"/>
        <v>0</v>
      </c>
      <c r="G16" s="6" t="s">
        <v>19</v>
      </c>
      <c r="H16" s="8"/>
    </row>
    <row r="17" spans="1:8" ht="15" thickBot="1" x14ac:dyDescent="0.4">
      <c r="A17" s="9">
        <v>16</v>
      </c>
      <c r="B17" s="10" t="s">
        <v>43</v>
      </c>
      <c r="C17" s="12" t="s">
        <v>44</v>
      </c>
      <c r="D17" s="12">
        <v>1</v>
      </c>
      <c r="E17" s="12">
        <v>0</v>
      </c>
      <c r="F17" s="6">
        <f t="shared" si="0"/>
        <v>0</v>
      </c>
      <c r="G17" s="12" t="s">
        <v>19</v>
      </c>
      <c r="H17" s="13"/>
    </row>
    <row r="18" spans="1:8" ht="15" customHeight="1" thickBot="1" x14ac:dyDescent="0.4">
      <c r="A18" s="31" t="s">
        <v>45</v>
      </c>
      <c r="B18" s="32"/>
      <c r="C18" s="32"/>
      <c r="D18" s="32"/>
      <c r="E18" s="33"/>
      <c r="F18" s="16">
        <f>SUM(F2:F17)</f>
        <v>97.950000000000017</v>
      </c>
      <c r="G18" s="17" t="s">
        <v>46</v>
      </c>
      <c r="H18" s="18"/>
    </row>
  </sheetData>
  <mergeCells count="1"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DB00-9791-4CF1-A381-7256E9C85542}">
  <dimension ref="A1:G18"/>
  <sheetViews>
    <sheetView tabSelected="1" zoomScale="85" zoomScaleNormal="85" workbookViewId="0">
      <selection activeCell="B5" sqref="B5"/>
    </sheetView>
  </sheetViews>
  <sheetFormatPr defaultRowHeight="14.5" x14ac:dyDescent="0.35"/>
  <cols>
    <col min="1" max="1" width="3.90625" bestFit="1" customWidth="1"/>
    <col min="2" max="2" width="64.54296875" bestFit="1" customWidth="1"/>
    <col min="3" max="3" width="7.26953125" bestFit="1" customWidth="1"/>
    <col min="4" max="4" width="12.81640625" bestFit="1" customWidth="1"/>
    <col min="5" max="5" width="13.7265625" bestFit="1" customWidth="1"/>
    <col min="6" max="6" width="22" bestFit="1" customWidth="1"/>
    <col min="7" max="7" width="15.6328125" bestFit="1" customWidth="1"/>
  </cols>
  <sheetData>
    <row r="1" spans="1:7" ht="15" thickBot="1" x14ac:dyDescent="0.4">
      <c r="A1" s="1" t="s">
        <v>0</v>
      </c>
      <c r="B1" s="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ht="15" thickBot="1" x14ac:dyDescent="0.4">
      <c r="A2" s="20">
        <v>1</v>
      </c>
      <c r="B2" s="5" t="s">
        <v>47</v>
      </c>
      <c r="C2" s="6">
        <v>1</v>
      </c>
      <c r="D2" s="21"/>
      <c r="E2" s="8"/>
      <c r="F2" s="8"/>
      <c r="G2" s="8"/>
    </row>
    <row r="3" spans="1:7" ht="24.5" thickBot="1" x14ac:dyDescent="0.4">
      <c r="A3" s="22">
        <v>2</v>
      </c>
      <c r="B3" s="23" t="s">
        <v>54</v>
      </c>
      <c r="C3" s="24">
        <v>8</v>
      </c>
      <c r="D3" s="25"/>
      <c r="E3" s="8"/>
      <c r="F3" s="26"/>
      <c r="G3" s="26"/>
    </row>
    <row r="4" spans="1:7" ht="15" thickBot="1" x14ac:dyDescent="0.4">
      <c r="A4" s="20">
        <v>5</v>
      </c>
      <c r="B4" s="5" t="s">
        <v>49</v>
      </c>
      <c r="C4" s="6">
        <v>1</v>
      </c>
      <c r="D4" s="8"/>
      <c r="E4" s="8"/>
      <c r="F4" s="8"/>
      <c r="G4" s="8"/>
    </row>
    <row r="5" spans="1:7" ht="15" thickBot="1" x14ac:dyDescent="0.4">
      <c r="A5" s="22">
        <v>6</v>
      </c>
      <c r="B5" s="23" t="s">
        <v>63</v>
      </c>
      <c r="C5" s="24">
        <v>1</v>
      </c>
      <c r="D5" s="26"/>
      <c r="E5" s="8"/>
      <c r="F5" s="26"/>
      <c r="G5" s="26"/>
    </row>
    <row r="6" spans="1:7" ht="15" thickBot="1" x14ac:dyDescent="0.4">
      <c r="A6" s="20">
        <v>7</v>
      </c>
      <c r="B6" s="5" t="s">
        <v>55</v>
      </c>
      <c r="C6" s="6">
        <v>16</v>
      </c>
      <c r="D6" s="8"/>
      <c r="E6" s="8"/>
      <c r="F6" s="8"/>
      <c r="G6" s="8"/>
    </row>
    <row r="7" spans="1:7" ht="15" thickBot="1" x14ac:dyDescent="0.4">
      <c r="A7" s="22">
        <v>8</v>
      </c>
      <c r="B7" s="23" t="s">
        <v>56</v>
      </c>
      <c r="C7" s="24">
        <v>1</v>
      </c>
      <c r="D7" s="26"/>
      <c r="E7" s="8"/>
      <c r="F7" s="26"/>
      <c r="G7" s="26"/>
    </row>
    <row r="8" spans="1:7" ht="15" thickBot="1" x14ac:dyDescent="0.4">
      <c r="A8" s="20">
        <v>9</v>
      </c>
      <c r="B8" s="5" t="s">
        <v>50</v>
      </c>
      <c r="C8" s="6">
        <v>1</v>
      </c>
      <c r="D8" s="8"/>
      <c r="E8" s="8"/>
      <c r="F8" s="8"/>
      <c r="G8" s="8"/>
    </row>
    <row r="9" spans="1:7" ht="15" thickBot="1" x14ac:dyDescent="0.4">
      <c r="A9" s="22">
        <v>10</v>
      </c>
      <c r="B9" s="23" t="s">
        <v>57</v>
      </c>
      <c r="C9" s="24">
        <v>1</v>
      </c>
      <c r="D9" s="26"/>
      <c r="E9" s="8"/>
      <c r="F9" s="26"/>
      <c r="G9" s="26"/>
    </row>
    <row r="10" spans="1:7" ht="15" thickBot="1" x14ac:dyDescent="0.4">
      <c r="A10" s="20">
        <v>11</v>
      </c>
      <c r="B10" s="5" t="s">
        <v>58</v>
      </c>
      <c r="C10" s="6">
        <v>1</v>
      </c>
      <c r="D10" s="8"/>
      <c r="E10" s="8"/>
      <c r="F10" s="8"/>
      <c r="G10" s="8"/>
    </row>
    <row r="11" spans="1:7" ht="15" thickBot="1" x14ac:dyDescent="0.4">
      <c r="A11" s="22">
        <v>12</v>
      </c>
      <c r="B11" s="23" t="s">
        <v>51</v>
      </c>
      <c r="C11" s="24">
        <v>2</v>
      </c>
      <c r="D11" s="26"/>
      <c r="E11" s="8"/>
      <c r="F11" s="26"/>
      <c r="G11" s="26"/>
    </row>
    <row r="12" spans="1:7" ht="15" thickBot="1" x14ac:dyDescent="0.4">
      <c r="A12" s="20">
        <v>13</v>
      </c>
      <c r="B12" s="5" t="s">
        <v>52</v>
      </c>
      <c r="C12" s="6">
        <v>8</v>
      </c>
      <c r="D12" s="8"/>
      <c r="E12" s="8"/>
      <c r="F12" s="8"/>
      <c r="G12" s="8"/>
    </row>
    <row r="13" spans="1:7" ht="15" thickBot="1" x14ac:dyDescent="0.4">
      <c r="A13" s="22">
        <v>14</v>
      </c>
      <c r="B13" s="23" t="s">
        <v>53</v>
      </c>
      <c r="C13" s="24">
        <v>2</v>
      </c>
      <c r="D13" s="26"/>
      <c r="E13" s="8"/>
      <c r="F13" s="26"/>
      <c r="G13" s="26"/>
    </row>
    <row r="14" spans="1:7" ht="15" thickBot="1" x14ac:dyDescent="0.4">
      <c r="A14" s="20">
        <v>15</v>
      </c>
      <c r="B14" s="5" t="s">
        <v>59</v>
      </c>
      <c r="C14" s="6">
        <v>1</v>
      </c>
      <c r="D14" s="8"/>
      <c r="E14" s="8"/>
      <c r="F14" s="8"/>
      <c r="G14" s="8"/>
    </row>
    <row r="15" spans="1:7" ht="15" thickBot="1" x14ac:dyDescent="0.4">
      <c r="A15" s="20">
        <v>17</v>
      </c>
      <c r="B15" s="5" t="s">
        <v>60</v>
      </c>
      <c r="C15" s="6">
        <v>1</v>
      </c>
      <c r="D15" s="8"/>
      <c r="E15" s="8"/>
      <c r="F15" s="8"/>
      <c r="G15" s="8"/>
    </row>
    <row r="16" spans="1:7" ht="15" thickBot="1" x14ac:dyDescent="0.4">
      <c r="A16" s="22">
        <v>18</v>
      </c>
      <c r="B16" s="23" t="s">
        <v>61</v>
      </c>
      <c r="C16" s="24">
        <v>1</v>
      </c>
      <c r="D16" s="26"/>
      <c r="E16" s="8"/>
      <c r="F16" s="26"/>
      <c r="G16" s="26"/>
    </row>
    <row r="17" spans="1:7" ht="15" thickBot="1" x14ac:dyDescent="0.4">
      <c r="A17" s="22">
        <v>20</v>
      </c>
      <c r="B17" s="23" t="s">
        <v>62</v>
      </c>
      <c r="C17" s="24">
        <v>1</v>
      </c>
      <c r="D17" s="26"/>
      <c r="E17" s="8"/>
      <c r="F17" s="26"/>
      <c r="G17" s="26"/>
    </row>
    <row r="18" spans="1:7" ht="15" thickBot="1" x14ac:dyDescent="0.4">
      <c r="A18" s="28" t="s">
        <v>45</v>
      </c>
      <c r="B18" s="29"/>
      <c r="C18" s="29"/>
      <c r="D18" s="30"/>
      <c r="E18" s="8">
        <f>SUM(E2:E17)</f>
        <v>0</v>
      </c>
      <c r="F18" s="27" t="s">
        <v>48</v>
      </c>
      <c r="G18" s="27"/>
    </row>
  </sheetData>
  <autoFilter ref="A1:G18" xr:uid="{D332DB00-9791-4CF1-A381-7256E9C85542}"/>
  <mergeCells count="1">
    <mergeCell ref="A18:D18"/>
  </mergeCells>
  <conditionalFormatting sqref="G2:G17">
    <cfRule type="containsBlanks" dxfId="1" priority="1">
      <formula>LEN(TRIM(G2))=0</formula>
    </cfRule>
    <cfRule type="containsText" dxfId="0" priority="2" operator="containsText" text="Yes">
      <formula>NOT(ISERROR(SEARCH("Yes",G2)))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Cheong</dc:creator>
  <cp:lastModifiedBy>Xavier Cheong</cp:lastModifiedBy>
  <dcterms:created xsi:type="dcterms:W3CDTF">2026-06-23T08:58:43Z</dcterms:created>
  <dcterms:modified xsi:type="dcterms:W3CDTF">2026-10-09T11:00:20Z</dcterms:modified>
</cp:coreProperties>
</file>